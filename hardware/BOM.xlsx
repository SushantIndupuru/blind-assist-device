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shant\Documents\GitHub\blind-assist-device\hardware\"/>
    </mc:Choice>
  </mc:AlternateContent>
  <xr:revisionPtr revIDLastSave="0" documentId="13_ncr:1_{154DA153-54AA-4BD5-B711-E1A683215D8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ill of Material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7" i="1" l="1"/>
  <c r="F24" i="1"/>
  <c r="F23" i="1"/>
  <c r="F21" i="1"/>
  <c r="F20" i="1"/>
  <c r="F19" i="1"/>
  <c r="F18" i="1"/>
  <c r="F16" i="1"/>
  <c r="F14" i="1"/>
  <c r="F13" i="1"/>
  <c r="F12" i="1"/>
  <c r="F10" i="1"/>
  <c r="F26" i="1" s="1"/>
  <c r="F8" i="1"/>
  <c r="F7" i="1"/>
</calcChain>
</file>

<file path=xl/sharedStrings.xml><?xml version="1.0" encoding="utf-8"?>
<sst xmlns="http://schemas.openxmlformats.org/spreadsheetml/2006/main" count="58" uniqueCount="55">
  <si>
    <t>Ultrasonic Obstacle Detection Device — Bill of Materials</t>
  </si>
  <si>
    <t>Calcutta Blind School Prototype  •  Rishab Ray &amp; Sushant Indupuru</t>
  </si>
  <si>
    <t>#</t>
  </si>
  <si>
    <t>Component</t>
  </si>
  <si>
    <t>Supplier / Part</t>
  </si>
  <si>
    <t>Qty</t>
  </si>
  <si>
    <t>Unit Cost ($)</t>
  </si>
  <si>
    <t>Line Total ($)</t>
  </si>
  <si>
    <t>Notes</t>
  </si>
  <si>
    <t>Microcontroller &amp; PCB</t>
  </si>
  <si>
    <t>Arduino Nano</t>
  </si>
  <si>
    <t>Arduino / generic clone</t>
  </si>
  <si>
    <t>ATmega328P; controls sensors &amp; motors</t>
  </si>
  <si>
    <t>Custom PCB</t>
  </si>
  <si>
    <t>Local fabrication (India)</t>
  </si>
  <si>
    <t>User-supplied estimate; bulk lowers cost</t>
  </si>
  <si>
    <t>Sensing</t>
  </si>
  <si>
    <t>HC-SR04 Ultrasonic Sensor</t>
  </si>
  <si>
    <t>SparkFun / generic</t>
  </si>
  <si>
    <t>15° FOV; 5 cm – 3.35 m range; 40 kHz</t>
  </si>
  <si>
    <t>Power</t>
  </si>
  <si>
    <t>Li-Po Battery 3.7 V 1000 mAh</t>
  </si>
  <si>
    <t>Generic</t>
  </si>
  <si>
    <t>~25 min runtime; JST connector</t>
  </si>
  <si>
    <t>Buck-Boost Converter</t>
  </si>
  <si>
    <t>Generic module</t>
  </si>
  <si>
    <t>Stable voltage for MCU &amp; motors</t>
  </si>
  <si>
    <t>Battery Charger (one-time)</t>
  </si>
  <si>
    <t>Generic TP4056</t>
  </si>
  <si>
    <t>One-time cost; not in per-unit total</t>
  </si>
  <si>
    <t>Actuation</t>
  </si>
  <si>
    <t>Vibration Motor (coin type)</t>
  </si>
  <si>
    <t>One per sensor; independent PWM control</t>
  </si>
  <si>
    <t>Passives &amp; Connectors</t>
  </si>
  <si>
    <t>Resistors (assorted)</t>
  </si>
  <si>
    <t>Generic pack</t>
  </si>
  <si>
    <t>Current limiting for motors/LEDs</t>
  </si>
  <si>
    <t>Diodes</t>
  </si>
  <si>
    <t>1N4148 or similar</t>
  </si>
  <si>
    <t>Flyback protection for motors</t>
  </si>
  <si>
    <t>Transistors (NPN)</t>
  </si>
  <si>
    <t>2N2222 or similar</t>
  </si>
  <si>
    <t>Motor drive switching</t>
  </si>
  <si>
    <t>Pin headers / connectors</t>
  </si>
  <si>
    <t>Sensor &amp; motor interface</t>
  </si>
  <si>
    <t>Enclosure &amp; Wearable</t>
  </si>
  <si>
    <t>3D-printed case</t>
  </si>
  <si>
    <t>PLA filament</t>
  </si>
  <si>
    <t>STL files in repo /hardware/stl/</t>
  </si>
  <si>
    <t>Wrist strap + hardware</t>
  </si>
  <si>
    <t>Velcro or nylon; harness for wrist mount</t>
  </si>
  <si>
    <t>TOTAL (incl. charger)</t>
  </si>
  <si>
    <t>All components</t>
  </si>
  <si>
    <t>PER-UNIT (excl. charger)</t>
  </si>
  <si>
    <t>Charger is one-time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</si>
</sst>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A5A5A"/>
      <name val="Arial"/>
      <charset val="1"/>
    </font>
    <font>
      <b/>
      <sz val="11"/>
      <color rgb="FFFFFFFF"/>
      <name val="Arial"/>
      <charset val="1"/>
    </font>
    <font>
      <sz val="10"/>
      <color rgb="FFFFFFFF"/>
      <name val="Arial"/>
      <charset val="1"/>
    </font>
    <font>
      <sz val="10"/>
      <color rgb="FF1F3864"/>
      <name val="Arial"/>
      <charset val="1"/>
    </font>
    <font>
      <b/>
      <sz val="10"/>
      <color rgb="FF1F3864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i/>
      <sz val="9"/>
      <color rgb="FF7F6000"/>
      <name val="Arial"/>
      <charset val="1"/>
    </font>
    <font>
      <b/>
      <sz val="11"/>
      <color rgb="FF1F3864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D6E4F0"/>
        <bgColor rgb="FFEBF3FB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6" borderId="2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164" fontId="10" fillId="6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A5A5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28" sqref="I28"/>
    </sheetView>
  </sheetViews>
  <sheetFormatPr defaultColWidth="8.7109375" defaultRowHeight="15" x14ac:dyDescent="0.25"/>
  <cols>
    <col min="1" max="1" width="4" customWidth="1"/>
    <col min="2" max="2" width="32" customWidth="1"/>
    <col min="3" max="3" width="28" customWidth="1"/>
    <col min="4" max="4" width="10" customWidth="1"/>
    <col min="5" max="6" width="12" customWidth="1"/>
    <col min="7" max="7" width="20" customWidth="1"/>
  </cols>
  <sheetData>
    <row r="1" spans="1:7" ht="9.75" customHeight="1" x14ac:dyDescent="0.25"/>
    <row r="2" spans="1:7" ht="36" customHeight="1" x14ac:dyDescent="0.25">
      <c r="B2" s="4" t="s">
        <v>0</v>
      </c>
      <c r="C2" s="4"/>
      <c r="D2" s="4"/>
      <c r="E2" s="4"/>
      <c r="F2" s="4"/>
      <c r="G2" s="4"/>
    </row>
    <row r="3" spans="1:7" ht="18" customHeight="1" x14ac:dyDescent="0.25">
      <c r="B3" s="3" t="s">
        <v>1</v>
      </c>
      <c r="C3" s="3"/>
      <c r="D3" s="3"/>
      <c r="E3" s="3"/>
      <c r="F3" s="3"/>
      <c r="G3" s="3"/>
    </row>
    <row r="4" spans="1:7" ht="13.5" customHeight="1" x14ac:dyDescent="0.25"/>
    <row r="5" spans="1:7" ht="32.25" customHeight="1" x14ac:dyDescent="0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</row>
    <row r="6" spans="1:7" ht="21" customHeight="1" x14ac:dyDescent="0.25">
      <c r="A6" s="6"/>
      <c r="B6" s="2" t="s">
        <v>9</v>
      </c>
      <c r="C6" s="2"/>
      <c r="D6" s="2"/>
      <c r="E6" s="2"/>
      <c r="F6" s="2"/>
      <c r="G6" s="2"/>
    </row>
    <row r="7" spans="1:7" ht="32.25" customHeight="1" x14ac:dyDescent="0.25">
      <c r="A7" s="7">
        <v>1</v>
      </c>
      <c r="B7" s="8" t="s">
        <v>10</v>
      </c>
      <c r="C7" s="9" t="s">
        <v>11</v>
      </c>
      <c r="D7" s="10">
        <v>1</v>
      </c>
      <c r="E7" s="11">
        <v>2.5</v>
      </c>
      <c r="F7" s="12">
        <f>D7*E7</f>
        <v>2.5</v>
      </c>
      <c r="G7" s="13" t="s">
        <v>12</v>
      </c>
    </row>
    <row r="8" spans="1:7" ht="32.25" customHeight="1" x14ac:dyDescent="0.25">
      <c r="A8" s="14">
        <v>2</v>
      </c>
      <c r="B8" s="15" t="s">
        <v>13</v>
      </c>
      <c r="C8" s="16" t="s">
        <v>14</v>
      </c>
      <c r="D8" s="17">
        <v>1</v>
      </c>
      <c r="E8" s="18">
        <v>5</v>
      </c>
      <c r="F8" s="19">
        <f>D8*E8</f>
        <v>5</v>
      </c>
      <c r="G8" s="20" t="s">
        <v>15</v>
      </c>
    </row>
    <row r="9" spans="1:7" ht="21" customHeight="1" x14ac:dyDescent="0.25">
      <c r="A9" s="6"/>
      <c r="B9" s="2" t="s">
        <v>16</v>
      </c>
      <c r="C9" s="2"/>
      <c r="D9" s="2"/>
      <c r="E9" s="2"/>
      <c r="F9" s="2"/>
      <c r="G9" s="2"/>
    </row>
    <row r="10" spans="1:7" ht="32.25" customHeight="1" x14ac:dyDescent="0.25">
      <c r="A10" s="14">
        <v>3</v>
      </c>
      <c r="B10" s="15" t="s">
        <v>17</v>
      </c>
      <c r="C10" s="16" t="s">
        <v>18</v>
      </c>
      <c r="D10" s="17">
        <v>2</v>
      </c>
      <c r="E10" s="18">
        <v>1.2</v>
      </c>
      <c r="F10" s="19">
        <f>D10*E10</f>
        <v>2.4</v>
      </c>
      <c r="G10" s="20" t="s">
        <v>19</v>
      </c>
    </row>
    <row r="11" spans="1:7" ht="21" customHeight="1" x14ac:dyDescent="0.25">
      <c r="A11" s="6"/>
      <c r="B11" s="2" t="s">
        <v>20</v>
      </c>
      <c r="C11" s="2"/>
      <c r="D11" s="2"/>
      <c r="E11" s="2"/>
      <c r="F11" s="2"/>
      <c r="G11" s="2"/>
    </row>
    <row r="12" spans="1:7" ht="32.25" customHeight="1" x14ac:dyDescent="0.25">
      <c r="A12" s="14">
        <v>4</v>
      </c>
      <c r="B12" s="15" t="s">
        <v>21</v>
      </c>
      <c r="C12" s="16" t="s">
        <v>22</v>
      </c>
      <c r="D12" s="17">
        <v>1</v>
      </c>
      <c r="E12" s="18">
        <v>3.5</v>
      </c>
      <c r="F12" s="19">
        <f>D12*E12</f>
        <v>3.5</v>
      </c>
      <c r="G12" s="20" t="s">
        <v>23</v>
      </c>
    </row>
    <row r="13" spans="1:7" ht="32.25" customHeight="1" x14ac:dyDescent="0.25">
      <c r="A13" s="7">
        <v>5</v>
      </c>
      <c r="B13" s="8" t="s">
        <v>24</v>
      </c>
      <c r="C13" s="9" t="s">
        <v>25</v>
      </c>
      <c r="D13" s="10">
        <v>1</v>
      </c>
      <c r="E13" s="11">
        <v>1.2</v>
      </c>
      <c r="F13" s="12">
        <f>D13*E13</f>
        <v>1.2</v>
      </c>
      <c r="G13" s="13" t="s">
        <v>26</v>
      </c>
    </row>
    <row r="14" spans="1:7" ht="32.25" customHeight="1" x14ac:dyDescent="0.25">
      <c r="A14" s="14">
        <v>6</v>
      </c>
      <c r="B14" s="15" t="s">
        <v>27</v>
      </c>
      <c r="C14" s="16" t="s">
        <v>28</v>
      </c>
      <c r="D14" s="17">
        <v>1</v>
      </c>
      <c r="E14" s="18">
        <v>3.48</v>
      </c>
      <c r="F14" s="19">
        <f>D14*E14</f>
        <v>3.48</v>
      </c>
      <c r="G14" s="20" t="s">
        <v>29</v>
      </c>
    </row>
    <row r="15" spans="1:7" ht="21" customHeight="1" x14ac:dyDescent="0.25">
      <c r="A15" s="6"/>
      <c r="B15" s="2" t="s">
        <v>30</v>
      </c>
      <c r="C15" s="2"/>
      <c r="D15" s="2"/>
      <c r="E15" s="2"/>
      <c r="F15" s="2"/>
      <c r="G15" s="2"/>
    </row>
    <row r="16" spans="1:7" ht="32.25" customHeight="1" x14ac:dyDescent="0.25">
      <c r="A16" s="14">
        <v>7</v>
      </c>
      <c r="B16" s="15" t="s">
        <v>31</v>
      </c>
      <c r="C16" s="16" t="s">
        <v>22</v>
      </c>
      <c r="D16" s="17">
        <v>2</v>
      </c>
      <c r="E16" s="18">
        <v>0.8</v>
      </c>
      <c r="F16" s="19">
        <f>D16*E16</f>
        <v>1.6</v>
      </c>
      <c r="G16" s="20" t="s">
        <v>32</v>
      </c>
    </row>
    <row r="17" spans="1:7" ht="21" customHeight="1" x14ac:dyDescent="0.25">
      <c r="A17" s="6"/>
      <c r="B17" s="2" t="s">
        <v>33</v>
      </c>
      <c r="C17" s="2"/>
      <c r="D17" s="2"/>
      <c r="E17" s="2"/>
      <c r="F17" s="2"/>
      <c r="G17" s="2"/>
    </row>
    <row r="18" spans="1:7" ht="32.25" customHeight="1" x14ac:dyDescent="0.25">
      <c r="A18" s="14">
        <v>8</v>
      </c>
      <c r="B18" s="15" t="s">
        <v>34</v>
      </c>
      <c r="C18" s="16" t="s">
        <v>35</v>
      </c>
      <c r="D18" s="17">
        <v>1</v>
      </c>
      <c r="E18" s="18">
        <v>0.3</v>
      </c>
      <c r="F18" s="19">
        <f>D18*E18</f>
        <v>0.3</v>
      </c>
      <c r="G18" s="20" t="s">
        <v>36</v>
      </c>
    </row>
    <row r="19" spans="1:7" ht="32.25" customHeight="1" x14ac:dyDescent="0.25">
      <c r="A19" s="7">
        <v>9</v>
      </c>
      <c r="B19" s="8" t="s">
        <v>37</v>
      </c>
      <c r="C19" s="9" t="s">
        <v>38</v>
      </c>
      <c r="D19" s="10">
        <v>2</v>
      </c>
      <c r="E19" s="11">
        <v>0.1</v>
      </c>
      <c r="F19" s="12">
        <f>D19*E19</f>
        <v>0.2</v>
      </c>
      <c r="G19" s="13" t="s">
        <v>39</v>
      </c>
    </row>
    <row r="20" spans="1:7" ht="32.25" customHeight="1" x14ac:dyDescent="0.25">
      <c r="A20" s="14">
        <v>10</v>
      </c>
      <c r="B20" s="15" t="s">
        <v>40</v>
      </c>
      <c r="C20" s="16" t="s">
        <v>41</v>
      </c>
      <c r="D20" s="17">
        <v>2</v>
      </c>
      <c r="E20" s="18">
        <v>0.15</v>
      </c>
      <c r="F20" s="19">
        <f>D20*E20</f>
        <v>0.3</v>
      </c>
      <c r="G20" s="20" t="s">
        <v>42</v>
      </c>
    </row>
    <row r="21" spans="1:7" ht="32.25" customHeight="1" x14ac:dyDescent="0.25">
      <c r="A21" s="7">
        <v>11</v>
      </c>
      <c r="B21" s="8" t="s">
        <v>43</v>
      </c>
      <c r="C21" s="9" t="s">
        <v>22</v>
      </c>
      <c r="D21" s="10">
        <v>1</v>
      </c>
      <c r="E21" s="11">
        <v>0.4</v>
      </c>
      <c r="F21" s="12">
        <f>D21*E21</f>
        <v>0.4</v>
      </c>
      <c r="G21" s="13" t="s">
        <v>44</v>
      </c>
    </row>
    <row r="22" spans="1:7" ht="32.25" customHeight="1" x14ac:dyDescent="0.25">
      <c r="A22" s="6"/>
      <c r="B22" s="2" t="s">
        <v>45</v>
      </c>
      <c r="C22" s="2"/>
      <c r="D22" s="2"/>
      <c r="E22" s="2"/>
      <c r="F22" s="2"/>
      <c r="G22" s="2"/>
    </row>
    <row r="23" spans="1:7" ht="32.25" customHeight="1" x14ac:dyDescent="0.25">
      <c r="A23" s="7">
        <v>12</v>
      </c>
      <c r="B23" s="8" t="s">
        <v>46</v>
      </c>
      <c r="C23" s="9" t="s">
        <v>47</v>
      </c>
      <c r="D23" s="10">
        <v>1</v>
      </c>
      <c r="E23" s="11">
        <v>0.8</v>
      </c>
      <c r="F23" s="12">
        <f>D23*E23</f>
        <v>0.8</v>
      </c>
      <c r="G23" s="13" t="s">
        <v>48</v>
      </c>
    </row>
    <row r="24" spans="1:7" ht="32.25" customHeight="1" x14ac:dyDescent="0.25">
      <c r="A24" s="14">
        <v>13</v>
      </c>
      <c r="B24" s="15" t="s">
        <v>49</v>
      </c>
      <c r="C24" s="16" t="s">
        <v>22</v>
      </c>
      <c r="D24" s="17">
        <v>1</v>
      </c>
      <c r="E24" s="18">
        <v>0.5</v>
      </c>
      <c r="F24" s="19">
        <f>D24*E24</f>
        <v>0.5</v>
      </c>
      <c r="G24" s="20" t="s">
        <v>50</v>
      </c>
    </row>
    <row r="25" spans="1:7" ht="13.5" customHeight="1" x14ac:dyDescent="0.25"/>
    <row r="26" spans="1:7" ht="21.75" customHeight="1" x14ac:dyDescent="0.25">
      <c r="A26" s="21"/>
      <c r="B26" s="1" t="s">
        <v>51</v>
      </c>
      <c r="C26" s="1"/>
      <c r="D26" s="1"/>
      <c r="E26" s="1"/>
      <c r="F26" s="22">
        <f>SUM(F6:F24)</f>
        <v>22.18</v>
      </c>
      <c r="G26" s="23" t="s">
        <v>52</v>
      </c>
    </row>
    <row r="27" spans="1:7" ht="21.75" customHeight="1" x14ac:dyDescent="0.25">
      <c r="A27" s="21"/>
      <c r="B27" s="1" t="s">
        <v>53</v>
      </c>
      <c r="C27" s="1"/>
      <c r="D27" s="1"/>
      <c r="E27" s="1"/>
      <c r="F27" s="22">
        <f>SUM(F6:F24)-F14</f>
        <v>18.7</v>
      </c>
      <c r="G27" s="23" t="s">
        <v>54</v>
      </c>
    </row>
    <row r="29" spans="1:7" ht="18" customHeight="1" x14ac:dyDescent="0.25">
      <c r="B29" s="24"/>
      <c r="C29" s="24"/>
      <c r="D29" s="24"/>
      <c r="E29" s="24"/>
      <c r="F29" s="24"/>
      <c r="G29" s="24"/>
    </row>
    <row r="30" spans="1:7" ht="15.75" customHeight="1" x14ac:dyDescent="0.25">
      <c r="B30" s="24"/>
      <c r="C30" s="24"/>
      <c r="D30" s="24"/>
      <c r="E30" s="24"/>
      <c r="F30" s="24"/>
      <c r="G30" s="24"/>
    </row>
    <row r="31" spans="1:7" ht="15.75" customHeight="1" x14ac:dyDescent="0.25">
      <c r="B31" s="24"/>
      <c r="C31" s="24"/>
      <c r="D31" s="24"/>
      <c r="E31" s="24"/>
      <c r="F31" s="24"/>
      <c r="G31" s="24"/>
    </row>
    <row r="32" spans="1:7" ht="15.75" customHeight="1" x14ac:dyDescent="0.25">
      <c r="B32" s="24"/>
      <c r="C32" s="24"/>
      <c r="D32" s="24"/>
      <c r="E32" s="24"/>
      <c r="F32" s="24"/>
      <c r="G32" s="24"/>
    </row>
    <row r="33" spans="2:7" ht="15.75" customHeight="1" x14ac:dyDescent="0.25">
      <c r="B33" s="24"/>
      <c r="C33" s="24"/>
      <c r="D33" s="24"/>
      <c r="E33" s="24"/>
      <c r="F33" s="24"/>
      <c r="G33" s="24"/>
    </row>
    <row r="34" spans="2:7" ht="15.75" customHeight="1" x14ac:dyDescent="0.25">
      <c r="B34" s="24"/>
      <c r="C34" s="24"/>
      <c r="D34" s="24"/>
      <c r="E34" s="24"/>
      <c r="F34" s="24"/>
      <c r="G34" s="24"/>
    </row>
  </sheetData>
  <mergeCells count="16">
    <mergeCell ref="B34:G34"/>
    <mergeCell ref="B29:G29"/>
    <mergeCell ref="B30:G30"/>
    <mergeCell ref="B31:G31"/>
    <mergeCell ref="B32:G32"/>
    <mergeCell ref="B33:G33"/>
    <mergeCell ref="B15:G15"/>
    <mergeCell ref="B17:G17"/>
    <mergeCell ref="B22:G22"/>
    <mergeCell ref="B26:E26"/>
    <mergeCell ref="B27:E27"/>
    <mergeCell ref="B2:G2"/>
    <mergeCell ref="B3:G3"/>
    <mergeCell ref="B6:G6"/>
    <mergeCell ref="B9:G9"/>
    <mergeCell ref="B11:G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Sushant Indupuru</cp:lastModifiedBy>
  <cp:revision>0</cp:revision>
  <dcterms:created xsi:type="dcterms:W3CDTF">2026-04-18T00:53:14Z</dcterms:created>
  <dcterms:modified xsi:type="dcterms:W3CDTF">2026-04-18T23:08:31Z</dcterms:modified>
  <dc:language>en-US</dc:language>
</cp:coreProperties>
</file>